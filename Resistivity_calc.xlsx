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mase\Desktop\"/>
    </mc:Choice>
  </mc:AlternateContent>
  <xr:revisionPtr revIDLastSave="0" documentId="13_ncr:1_{C611CCEB-2EA6-488D-8D0D-EA872ADEF74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B38" i="1"/>
  <c r="C35" i="1"/>
  <c r="B35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F23" i="1"/>
  <c r="J18" i="1"/>
  <c r="I18" i="1"/>
  <c r="J17" i="1"/>
  <c r="I17" i="1"/>
  <c r="J16" i="1"/>
  <c r="I16" i="1"/>
  <c r="J15" i="1"/>
  <c r="I15" i="1"/>
  <c r="J14" i="1"/>
  <c r="I14" i="1"/>
  <c r="J13" i="1"/>
  <c r="I13" i="1"/>
  <c r="M3" i="1"/>
  <c r="C37" i="1" l="1"/>
  <c r="E37" i="1" s="1"/>
  <c r="B37" i="1"/>
  <c r="D37" i="1" s="1"/>
  <c r="C36" i="1"/>
  <c r="E36" i="1" s="1"/>
  <c r="B36" i="1"/>
  <c r="D36" i="1" s="1"/>
  <c r="E35" i="1"/>
  <c r="C43" i="1" s="1"/>
  <c r="D35" i="1"/>
  <c r="B43" i="1" s="1"/>
  <c r="C34" i="1"/>
  <c r="E34" i="1" s="1"/>
  <c r="B34" i="1"/>
  <c r="D34" i="1" s="1"/>
  <c r="B42" i="1" s="1"/>
  <c r="D42" i="1" s="1"/>
  <c r="C33" i="1"/>
  <c r="E33" i="1" s="1"/>
  <c r="C41" i="1" s="1"/>
  <c r="C50" i="1" s="1"/>
  <c r="B33" i="1"/>
  <c r="D33" i="1" s="1"/>
  <c r="B41" i="1" s="1"/>
  <c r="E41" i="1"/>
  <c r="L18" i="1"/>
  <c r="J26" i="1" s="1"/>
  <c r="L26" i="1" s="1"/>
  <c r="K18" i="1"/>
  <c r="I26" i="1" s="1"/>
  <c r="K26" i="1" s="1"/>
  <c r="L17" i="1"/>
  <c r="J25" i="1" s="1"/>
  <c r="L25" i="1" s="1"/>
  <c r="K17" i="1"/>
  <c r="I25" i="1" s="1"/>
  <c r="K25" i="1" s="1"/>
  <c r="L16" i="1"/>
  <c r="J24" i="1" s="1"/>
  <c r="L24" i="1" s="1"/>
  <c r="K16" i="1"/>
  <c r="I24" i="1" s="1"/>
  <c r="K24" i="1" s="1"/>
  <c r="C49" i="1"/>
  <c r="L15" i="1"/>
  <c r="K15" i="1"/>
  <c r="L14" i="1"/>
  <c r="K14" i="1"/>
  <c r="L13" i="1"/>
  <c r="K13" i="1"/>
  <c r="C45" i="1"/>
  <c r="E45" i="1" s="1"/>
  <c r="C44" i="1"/>
  <c r="E44" i="1" s="1"/>
  <c r="E43" i="1"/>
  <c r="C42" i="1"/>
  <c r="E42" i="1" s="1"/>
  <c r="E38" i="1"/>
  <c r="C46" i="1" s="1"/>
  <c r="E46" i="1" s="1"/>
  <c r="D38" i="1"/>
  <c r="B46" i="1" s="1"/>
  <c r="D46" i="1" s="1"/>
  <c r="B50" i="1" l="1"/>
  <c r="D41" i="1"/>
  <c r="B49" i="1"/>
  <c r="E49" i="1"/>
  <c r="E50" i="1"/>
  <c r="B45" i="1"/>
  <c r="D45" i="1" s="1"/>
  <c r="B44" i="1"/>
  <c r="D44" i="1" s="1"/>
  <c r="D43" i="1"/>
  <c r="J23" i="1"/>
  <c r="L23" i="1" s="1"/>
  <c r="I23" i="1"/>
  <c r="K23" i="1" s="1"/>
  <c r="J22" i="1"/>
  <c r="L22" i="1" s="1"/>
  <c r="I22" i="1"/>
  <c r="K22" i="1" s="1"/>
  <c r="J21" i="1"/>
  <c r="I21" i="1"/>
  <c r="D49" i="1" l="1"/>
  <c r="D50" i="1"/>
  <c r="J29" i="1"/>
  <c r="J30" i="1"/>
  <c r="L21" i="1"/>
  <c r="I29" i="1"/>
  <c r="I30" i="1"/>
  <c r="K21" i="1"/>
  <c r="L29" i="1" l="1"/>
  <c r="L30" i="1"/>
  <c r="K30" i="1"/>
  <c r="K29" i="1"/>
</calcChain>
</file>

<file path=xl/sharedStrings.xml><?xml version="1.0" encoding="utf-8"?>
<sst xmlns="http://schemas.openxmlformats.org/spreadsheetml/2006/main" count="68" uniqueCount="25">
  <si>
    <t>Name</t>
  </si>
  <si>
    <t>1.</t>
  </si>
  <si>
    <t>2.</t>
  </si>
  <si>
    <t>d [cm]</t>
  </si>
  <si>
    <t>Dark</t>
  </si>
  <si>
    <t>Light</t>
  </si>
  <si>
    <t>R_1234</t>
  </si>
  <si>
    <t>R_2341</t>
  </si>
  <si>
    <t>U_AD [V]</t>
  </si>
  <si>
    <t>I_AD [mA]</t>
  </si>
  <si>
    <t>U_BC [V]</t>
  </si>
  <si>
    <t>U_DC [V]</t>
  </si>
  <si>
    <r>
      <t>Dark [</t>
    </r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</rPr>
      <t>]</t>
    </r>
  </si>
  <si>
    <t>Light [Ω]</t>
  </si>
  <si>
    <t>Dark [Ω]</t>
  </si>
  <si>
    <t>Dark L</t>
  </si>
  <si>
    <t>Light L</t>
  </si>
  <si>
    <t>Dark F</t>
  </si>
  <si>
    <t>Light F</t>
  </si>
  <si>
    <t>I_DC [mA]</t>
  </si>
  <si>
    <t>U_AB [V]</t>
  </si>
  <si>
    <r>
      <rPr>
        <sz val="11"/>
        <color theme="1"/>
        <rFont val="Aptos Narrow"/>
        <family val="2"/>
      </rPr>
      <t>Dark ρ</t>
    </r>
    <r>
      <rPr>
        <sz val="11"/>
        <color theme="1"/>
        <rFont val="Calibri"/>
        <family val="2"/>
      </rPr>
      <t xml:space="preserve"> [</t>
    </r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</rPr>
      <t>*cm]</t>
    </r>
  </si>
  <si>
    <r>
      <rPr>
        <sz val="11"/>
        <color theme="1"/>
        <rFont val="Aptos Narrow"/>
        <family val="2"/>
      </rPr>
      <t>Light ρ</t>
    </r>
    <r>
      <rPr>
        <sz val="11"/>
        <color theme="1"/>
        <rFont val="Calibri"/>
        <family val="2"/>
      </rPr>
      <t xml:space="preserve"> [</t>
    </r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</rPr>
      <t>*cm]</t>
    </r>
  </si>
  <si>
    <t>Dark σ [S/cm]</t>
  </si>
  <si>
    <t>Light σ [S/cm]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</si>
</sst>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8" xfId="0" applyBorder="1"/>
    <xf numFmtId="11" fontId="0" fillId="0" borderId="0" xfId="0" applyNumberFormat="1"/>
    <xf numFmtId="11" fontId="0" fillId="0" borderId="8" xfId="0" applyNumberFormat="1" applyBorder="1"/>
    <xf numFmtId="0" fontId="0" fillId="0" borderId="15" xfId="0" applyBorder="1"/>
    <xf numFmtId="49" fontId="0" fillId="0" borderId="2" xfId="0" applyNumberFormat="1" applyBorder="1"/>
    <xf numFmtId="49" fontId="0" fillId="0" borderId="3" xfId="0" applyNumberFormat="1" applyBorder="1"/>
    <xf numFmtId="2" fontId="0" fillId="0" borderId="0" xfId="0" applyNumberFormat="1"/>
    <xf numFmtId="2" fontId="0" fillId="0" borderId="8" xfId="0" applyNumberFormat="1" applyBorder="1"/>
    <xf numFmtId="164" fontId="0" fillId="0" borderId="0" xfId="0" applyNumberFormat="1"/>
    <xf numFmtId="0" fontId="2" fillId="0" borderId="1" xfId="0" applyFont="1" applyBorder="1"/>
    <xf numFmtId="0" fontId="2" fillId="0" borderId="3" xfId="0" applyFont="1" applyBorder="1"/>
    <xf numFmtId="0" fontId="1" fillId="0" borderId="2" xfId="0" applyFont="1" applyBorder="1"/>
    <xf numFmtId="0" fontId="1" fillId="0" borderId="3" xfId="0" applyFont="1" applyBorder="1"/>
    <xf numFmtId="165" fontId="0" fillId="0" borderId="0" xfId="0" applyNumberFormat="1"/>
    <xf numFmtId="0" fontId="2" fillId="0" borderId="2" xfId="0" applyFont="1" applyBorder="1"/>
    <xf numFmtId="165" fontId="0" fillId="0" borderId="9" xfId="0" applyNumberFormat="1" applyBorder="1"/>
    <xf numFmtId="165" fontId="0" fillId="0" borderId="8" xfId="0" applyNumberFormat="1" applyBorder="1"/>
    <xf numFmtId="165" fontId="0" fillId="0" borderId="11" xfId="0" applyNumberFormat="1" applyBorder="1"/>
    <xf numFmtId="165" fontId="0" fillId="0" borderId="13" xfId="0" applyNumberFormat="1" applyBorder="1"/>
    <xf numFmtId="165" fontId="0" fillId="0" borderId="12" xfId="0" applyNumberForma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sqref="A1:M50"/>
    </sheetView>
  </sheetViews>
  <sheetFormatPr defaultRowHeight="14.25" x14ac:dyDescent="0.45"/>
  <sheetData>
    <row r="1" spans="1:13" ht="14.65" thickBot="1" x14ac:dyDescent="0.5">
      <c r="A1" s="1" t="s">
        <v>0</v>
      </c>
      <c r="B1" s="1"/>
      <c r="C1" s="1"/>
      <c r="D1" s="1"/>
      <c r="E1" s="1"/>
      <c r="F1" s="1"/>
      <c r="H1" s="1" t="s">
        <v>0</v>
      </c>
      <c r="I1" s="1"/>
      <c r="J1" s="1"/>
      <c r="K1" s="1"/>
      <c r="L1" s="1"/>
      <c r="M1" s="1"/>
    </row>
    <row r="2" spans="1:13" ht="15" thickTop="1" thickBot="1" x14ac:dyDescent="0.5">
      <c r="A2" s="2" t="s">
        <v>1</v>
      </c>
      <c r="B2" s="3"/>
      <c r="C2" s="3"/>
      <c r="D2" s="3"/>
      <c r="E2" s="3"/>
      <c r="F2" s="4"/>
      <c r="I2" s="5" t="s">
        <v>1</v>
      </c>
      <c r="J2" s="6"/>
      <c r="K2" s="7" t="s">
        <v>2</v>
      </c>
      <c r="L2" s="6"/>
      <c r="M2" s="8" t="s">
        <v>3</v>
      </c>
    </row>
    <row r="3" spans="1:13" ht="15" thickTop="1" thickBot="1" x14ac:dyDescent="0.5">
      <c r="A3" s="1" t="s">
        <v>4</v>
      </c>
      <c r="B3" s="1"/>
      <c r="C3" s="9"/>
      <c r="D3" s="1" t="s">
        <v>5</v>
      </c>
      <c r="E3" s="1"/>
      <c r="F3" s="1"/>
      <c r="I3" s="10" t="s">
        <v>6</v>
      </c>
      <c r="J3" s="9"/>
      <c r="K3" s="1" t="s">
        <v>7</v>
      </c>
      <c r="L3" s="9"/>
      <c r="M3" s="11">
        <f>297/10000000</f>
        <v>2.97E-5</v>
      </c>
    </row>
    <row r="4" spans="1:13" ht="15" thickTop="1" thickBot="1" x14ac:dyDescent="0.5">
      <c r="A4" s="12" t="s">
        <v>8</v>
      </c>
      <c r="B4" s="13" t="s">
        <v>9</v>
      </c>
      <c r="C4" s="14" t="s">
        <v>10</v>
      </c>
      <c r="D4" s="12" t="s">
        <v>8</v>
      </c>
      <c r="E4" s="13" t="s">
        <v>9</v>
      </c>
      <c r="F4" s="14" t="s">
        <v>10</v>
      </c>
      <c r="H4" s="12" t="s">
        <v>11</v>
      </c>
      <c r="I4" s="15" t="s">
        <v>12</v>
      </c>
      <c r="J4" s="16" t="s">
        <v>13</v>
      </c>
      <c r="K4" s="17" t="s">
        <v>14</v>
      </c>
      <c r="L4" s="16" t="s">
        <v>13</v>
      </c>
    </row>
    <row r="5" spans="1:13" ht="14.65" thickTop="1" x14ac:dyDescent="0.45">
      <c r="A5" s="18">
        <v>-500</v>
      </c>
      <c r="C5" s="19"/>
      <c r="D5" s="18">
        <v>-500</v>
      </c>
      <c r="H5" s="18">
        <v>-500</v>
      </c>
      <c r="I5" s="20"/>
      <c r="J5" s="21"/>
      <c r="K5" s="20"/>
      <c r="L5" s="20"/>
    </row>
    <row r="6" spans="1:13" x14ac:dyDescent="0.45">
      <c r="A6" s="22">
        <v>-200</v>
      </c>
      <c r="C6" s="19"/>
      <c r="D6" s="22">
        <v>-200</v>
      </c>
      <c r="H6" s="22">
        <v>-200</v>
      </c>
      <c r="I6" s="20"/>
      <c r="J6" s="21"/>
      <c r="K6" s="20"/>
      <c r="L6" s="20"/>
    </row>
    <row r="7" spans="1:13" x14ac:dyDescent="0.45">
      <c r="A7" s="22">
        <v>-100</v>
      </c>
      <c r="C7" s="19"/>
      <c r="D7" s="22">
        <v>-100</v>
      </c>
      <c r="H7" s="22">
        <v>-100</v>
      </c>
      <c r="I7" s="20"/>
      <c r="J7" s="21"/>
      <c r="K7" s="20"/>
      <c r="L7" s="20"/>
    </row>
    <row r="8" spans="1:13" x14ac:dyDescent="0.45">
      <c r="A8" s="22">
        <v>100</v>
      </c>
      <c r="C8" s="19"/>
      <c r="D8" s="22">
        <v>100</v>
      </c>
      <c r="H8" s="22">
        <v>100</v>
      </c>
      <c r="I8" s="20"/>
      <c r="J8" s="21"/>
      <c r="K8" s="20"/>
      <c r="L8" s="20"/>
    </row>
    <row r="9" spans="1:13" x14ac:dyDescent="0.45">
      <c r="A9" s="22">
        <v>200</v>
      </c>
      <c r="C9" s="19"/>
      <c r="D9" s="22">
        <v>200</v>
      </c>
      <c r="H9" s="22">
        <v>200</v>
      </c>
      <c r="I9" s="20"/>
      <c r="J9" s="21"/>
      <c r="K9" s="20"/>
      <c r="L9" s="20"/>
    </row>
    <row r="10" spans="1:13" x14ac:dyDescent="0.45">
      <c r="A10" s="22">
        <v>500</v>
      </c>
      <c r="C10" s="19"/>
      <c r="D10" s="22">
        <v>500</v>
      </c>
      <c r="H10" s="22">
        <v>500</v>
      </c>
      <c r="I10" s="20"/>
      <c r="J10" s="21"/>
      <c r="K10" s="20"/>
      <c r="L10" s="20"/>
    </row>
    <row r="11" spans="1:13" ht="14.65" thickBot="1" x14ac:dyDescent="0.5"/>
    <row r="12" spans="1:13" ht="15" thickTop="1" thickBot="1" x14ac:dyDescent="0.5">
      <c r="A12" s="2" t="s">
        <v>2</v>
      </c>
      <c r="B12" s="3"/>
      <c r="C12" s="3"/>
      <c r="D12" s="3"/>
      <c r="E12" s="3"/>
      <c r="F12" s="4"/>
      <c r="H12" s="12" t="s">
        <v>11</v>
      </c>
      <c r="I12" s="12" t="s">
        <v>15</v>
      </c>
      <c r="J12" s="14" t="s">
        <v>16</v>
      </c>
      <c r="K12" s="23" t="s">
        <v>17</v>
      </c>
      <c r="L12" s="24" t="s">
        <v>18</v>
      </c>
    </row>
    <row r="13" spans="1:13" ht="15" thickTop="1" thickBot="1" x14ac:dyDescent="0.5">
      <c r="A13" s="1" t="s">
        <v>4</v>
      </c>
      <c r="B13" s="1"/>
      <c r="C13" s="9"/>
      <c r="D13" s="1" t="s">
        <v>5</v>
      </c>
      <c r="E13" s="1"/>
      <c r="F13" s="1"/>
      <c r="H13" s="18">
        <v>-500</v>
      </c>
      <c r="I13" s="25" t="e">
        <f>MAX(I5/K5,K5/I5)</f>
        <v>#DIV/0!</v>
      </c>
      <c r="J13" s="26" t="e">
        <f>MAX(J5/L5,L5/J5)</f>
        <v>#DIV/0!</v>
      </c>
      <c r="K13" s="27" t="e">
        <f>-0.38761*(ATAN(0.13686*I13))+1.05567</f>
        <v>#DIV/0!</v>
      </c>
      <c r="L13" s="27" t="e">
        <f>-0.38761*(ATAN(0.13686*J13))+1.05567</f>
        <v>#DIV/0!</v>
      </c>
    </row>
    <row r="14" spans="1:13" ht="15" thickTop="1" thickBot="1" x14ac:dyDescent="0.5">
      <c r="A14" s="12" t="s">
        <v>11</v>
      </c>
      <c r="B14" s="13" t="s">
        <v>19</v>
      </c>
      <c r="C14" s="14" t="s">
        <v>20</v>
      </c>
      <c r="D14" s="12" t="s">
        <v>11</v>
      </c>
      <c r="E14" s="13" t="s">
        <v>19</v>
      </c>
      <c r="F14" s="14" t="s">
        <v>20</v>
      </c>
      <c r="H14" s="22">
        <v>-200</v>
      </c>
      <c r="I14" s="25" t="e">
        <f t="shared" ref="I14:J18" si="0">MAX(I6/K6,K6/I6)</f>
        <v>#DIV/0!</v>
      </c>
      <c r="J14" s="26" t="e">
        <f t="shared" si="0"/>
        <v>#DIV/0!</v>
      </c>
      <c r="K14" s="27" t="e">
        <f t="shared" ref="K14:L18" si="1">-0.38761*(ATAN(0.13686*I14))+1.05567</f>
        <v>#DIV/0!</v>
      </c>
      <c r="L14" s="27" t="e">
        <f t="shared" si="1"/>
        <v>#DIV/0!</v>
      </c>
    </row>
    <row r="15" spans="1:13" ht="14.65" thickTop="1" x14ac:dyDescent="0.45">
      <c r="A15" s="18">
        <v>-500</v>
      </c>
      <c r="C15" s="19"/>
      <c r="D15" s="18">
        <v>-500</v>
      </c>
      <c r="H15" s="22">
        <v>-100</v>
      </c>
      <c r="I15" s="25" t="e">
        <f t="shared" si="0"/>
        <v>#DIV/0!</v>
      </c>
      <c r="J15" s="26" t="e">
        <f t="shared" si="0"/>
        <v>#DIV/0!</v>
      </c>
      <c r="K15" s="27" t="e">
        <f t="shared" si="1"/>
        <v>#DIV/0!</v>
      </c>
      <c r="L15" s="27" t="e">
        <f t="shared" si="1"/>
        <v>#DIV/0!</v>
      </c>
    </row>
    <row r="16" spans="1:13" x14ac:dyDescent="0.45">
      <c r="A16" s="22">
        <v>-200</v>
      </c>
      <c r="C16" s="19"/>
      <c r="D16" s="22">
        <v>-200</v>
      </c>
      <c r="H16" s="22">
        <v>100</v>
      </c>
      <c r="I16" s="25" t="e">
        <f t="shared" si="0"/>
        <v>#DIV/0!</v>
      </c>
      <c r="J16" s="26" t="e">
        <f t="shared" si="0"/>
        <v>#DIV/0!</v>
      </c>
      <c r="K16" s="27" t="e">
        <f t="shared" si="1"/>
        <v>#DIV/0!</v>
      </c>
      <c r="L16" s="27" t="e">
        <f t="shared" si="1"/>
        <v>#DIV/0!</v>
      </c>
    </row>
    <row r="17" spans="1:12" x14ac:dyDescent="0.45">
      <c r="A17" s="22">
        <v>-100</v>
      </c>
      <c r="C17" s="19"/>
      <c r="D17" s="22">
        <v>-100</v>
      </c>
      <c r="H17" s="22">
        <v>200</v>
      </c>
      <c r="I17" s="25" t="e">
        <f t="shared" si="0"/>
        <v>#DIV/0!</v>
      </c>
      <c r="J17" s="26" t="e">
        <f t="shared" si="0"/>
        <v>#DIV/0!</v>
      </c>
      <c r="K17" s="27" t="e">
        <f t="shared" si="1"/>
        <v>#DIV/0!</v>
      </c>
      <c r="L17" s="27" t="e">
        <f t="shared" si="1"/>
        <v>#DIV/0!</v>
      </c>
    </row>
    <row r="18" spans="1:12" x14ac:dyDescent="0.45">
      <c r="A18" s="22">
        <v>100</v>
      </c>
      <c r="C18" s="19"/>
      <c r="D18" s="22">
        <v>100</v>
      </c>
      <c r="H18" s="22">
        <v>500</v>
      </c>
      <c r="I18" s="25" t="e">
        <f t="shared" si="0"/>
        <v>#DIV/0!</v>
      </c>
      <c r="J18" s="26" t="e">
        <f t="shared" si="0"/>
        <v>#DIV/0!</v>
      </c>
      <c r="K18" s="27" t="e">
        <f t="shared" si="1"/>
        <v>#DIV/0!</v>
      </c>
      <c r="L18" s="27" t="e">
        <f t="shared" si="1"/>
        <v>#DIV/0!</v>
      </c>
    </row>
    <row r="19" spans="1:12" ht="14.65" thickBot="1" x14ac:dyDescent="0.5">
      <c r="A19" s="22">
        <v>200</v>
      </c>
      <c r="C19" s="19"/>
      <c r="D19" s="22">
        <v>200</v>
      </c>
    </row>
    <row r="20" spans="1:12" ht="15" thickTop="1" thickBot="1" x14ac:dyDescent="0.5">
      <c r="A20" s="22">
        <v>500</v>
      </c>
      <c r="C20" s="19"/>
      <c r="D20" s="22">
        <v>500</v>
      </c>
      <c r="H20" s="12" t="s">
        <v>11</v>
      </c>
      <c r="I20" s="28" t="s">
        <v>21</v>
      </c>
      <c r="J20" s="29" t="s">
        <v>22</v>
      </c>
      <c r="K20" s="30" t="s">
        <v>23</v>
      </c>
      <c r="L20" s="31" t="s">
        <v>23</v>
      </c>
    </row>
    <row r="21" spans="1:12" ht="15" thickTop="1" thickBot="1" x14ac:dyDescent="0.5">
      <c r="H21" s="18">
        <v>-500</v>
      </c>
      <c r="I21" s="25" t="e">
        <f>(PI()/LN(2))*M$3*((I5+K5)/2)*K13</f>
        <v>#DIV/0!</v>
      </c>
      <c r="J21" s="26" t="e">
        <f>(PI()/LN(2))*M$3*((J5+L5)/2)*L13</f>
        <v>#DIV/0!</v>
      </c>
      <c r="K21" s="32" t="e">
        <f>1/I21</f>
        <v>#DIV/0!</v>
      </c>
      <c r="L21" s="32" t="e">
        <f>1/J21</f>
        <v>#DIV/0!</v>
      </c>
    </row>
    <row r="22" spans="1:12" ht="14.65" thickTop="1" x14ac:dyDescent="0.45">
      <c r="B22" s="5" t="s">
        <v>1</v>
      </c>
      <c r="C22" s="6"/>
      <c r="D22" s="7" t="s">
        <v>2</v>
      </c>
      <c r="E22" s="6"/>
      <c r="F22" s="8" t="s">
        <v>3</v>
      </c>
      <c r="H22" s="22">
        <v>-200</v>
      </c>
      <c r="I22" s="25" t="e">
        <f t="shared" ref="I22:I26" si="2">(PI()/LN(2))*M$3*((I6+K6)/2)*K14</f>
        <v>#DIV/0!</v>
      </c>
      <c r="J22" s="26" t="e">
        <f t="shared" ref="J22:J26" si="3">(PI()/LN(2))*M$3*((J6+L6)/2)*L14</f>
        <v>#DIV/0!</v>
      </c>
      <c r="K22" s="32" t="e">
        <f t="shared" ref="K22:L26" si="4">1/I22</f>
        <v>#DIV/0!</v>
      </c>
      <c r="L22" s="32" t="e">
        <f t="shared" si="4"/>
        <v>#DIV/0!</v>
      </c>
    </row>
    <row r="23" spans="1:12" ht="14.65" thickBot="1" x14ac:dyDescent="0.5">
      <c r="B23" s="10" t="s">
        <v>6</v>
      </c>
      <c r="C23" s="9"/>
      <c r="D23" s="1" t="s">
        <v>7</v>
      </c>
      <c r="E23" s="9"/>
      <c r="F23" s="11">
        <f>297/10000000</f>
        <v>2.97E-5</v>
      </c>
      <c r="H23" s="22">
        <v>-100</v>
      </c>
      <c r="I23" s="25" t="e">
        <f t="shared" si="2"/>
        <v>#DIV/0!</v>
      </c>
      <c r="J23" s="26" t="e">
        <f t="shared" si="3"/>
        <v>#DIV/0!</v>
      </c>
      <c r="K23" s="32" t="e">
        <f t="shared" si="4"/>
        <v>#DIV/0!</v>
      </c>
      <c r="L23" s="32" t="e">
        <f t="shared" si="4"/>
        <v>#DIV/0!</v>
      </c>
    </row>
    <row r="24" spans="1:12" ht="15" thickTop="1" thickBot="1" x14ac:dyDescent="0.5">
      <c r="A24" s="12" t="s">
        <v>11</v>
      </c>
      <c r="B24" s="15" t="s">
        <v>12</v>
      </c>
      <c r="C24" s="16" t="s">
        <v>13</v>
      </c>
      <c r="D24" s="17" t="s">
        <v>14</v>
      </c>
      <c r="E24" s="16" t="s">
        <v>13</v>
      </c>
      <c r="H24" s="22">
        <v>100</v>
      </c>
      <c r="I24" s="25" t="e">
        <f t="shared" si="2"/>
        <v>#DIV/0!</v>
      </c>
      <c r="J24" s="26" t="e">
        <f t="shared" si="3"/>
        <v>#DIV/0!</v>
      </c>
      <c r="K24" s="32" t="e">
        <f t="shared" si="4"/>
        <v>#DIV/0!</v>
      </c>
      <c r="L24" s="32" t="e">
        <f t="shared" si="4"/>
        <v>#DIV/0!</v>
      </c>
    </row>
    <row r="25" spans="1:12" ht="14.65" thickTop="1" x14ac:dyDescent="0.45">
      <c r="A25" s="18">
        <v>-500</v>
      </c>
      <c r="B25" s="20" t="e">
        <f>ABS(C5/(B5/1000))</f>
        <v>#DIV/0!</v>
      </c>
      <c r="C25" s="21" t="e">
        <f>ABS(F5/(E5/1000))</f>
        <v>#DIV/0!</v>
      </c>
      <c r="D25" s="20" t="e">
        <f>ABS(C15/(B15/1000))</f>
        <v>#DIV/0!</v>
      </c>
      <c r="E25" s="20" t="e">
        <f>ABS(F15/(E15/1000))</f>
        <v>#DIV/0!</v>
      </c>
      <c r="H25" s="22">
        <v>200</v>
      </c>
      <c r="I25" s="25" t="e">
        <f t="shared" si="2"/>
        <v>#DIV/0!</v>
      </c>
      <c r="J25" s="26" t="e">
        <f t="shared" si="3"/>
        <v>#DIV/0!</v>
      </c>
      <c r="K25" s="32" t="e">
        <f t="shared" si="4"/>
        <v>#DIV/0!</v>
      </c>
      <c r="L25" s="32" t="e">
        <f t="shared" si="4"/>
        <v>#DIV/0!</v>
      </c>
    </row>
    <row r="26" spans="1:12" x14ac:dyDescent="0.45">
      <c r="A26" s="22">
        <v>-200</v>
      </c>
      <c r="B26" s="20" t="e">
        <f t="shared" ref="B26:B30" si="5">ABS(C6/(B6/1000))</f>
        <v>#DIV/0!</v>
      </c>
      <c r="C26" s="21" t="e">
        <f t="shared" ref="C26:C30" si="6">ABS(F6/(E6/1000))</f>
        <v>#DIV/0!</v>
      </c>
      <c r="D26" s="20" t="e">
        <f t="shared" ref="D26:D30" si="7">ABS(C16/(B16/1000))</f>
        <v>#DIV/0!</v>
      </c>
      <c r="E26" s="20" t="e">
        <f t="shared" ref="E26:E30" si="8">ABS(F16/(E16/1000))</f>
        <v>#DIV/0!</v>
      </c>
      <c r="H26" s="22">
        <v>500</v>
      </c>
      <c r="I26" s="25" t="e">
        <f t="shared" si="2"/>
        <v>#DIV/0!</v>
      </c>
      <c r="J26" s="26" t="e">
        <f t="shared" si="3"/>
        <v>#DIV/0!</v>
      </c>
      <c r="K26" s="32" t="e">
        <f t="shared" si="4"/>
        <v>#DIV/0!</v>
      </c>
      <c r="L26" s="32" t="e">
        <f t="shared" si="4"/>
        <v>#DIV/0!</v>
      </c>
    </row>
    <row r="27" spans="1:12" ht="14.65" thickBot="1" x14ac:dyDescent="0.5">
      <c r="A27" s="22">
        <v>-100</v>
      </c>
      <c r="B27" s="20" t="e">
        <f t="shared" si="5"/>
        <v>#DIV/0!</v>
      </c>
      <c r="C27" s="21" t="e">
        <f t="shared" si="6"/>
        <v>#DIV/0!</v>
      </c>
      <c r="D27" s="20" t="e">
        <f t="shared" si="7"/>
        <v>#DIV/0!</v>
      </c>
      <c r="E27" s="20" t="e">
        <f t="shared" si="8"/>
        <v>#DIV/0!</v>
      </c>
    </row>
    <row r="28" spans="1:12" ht="15" thickTop="1" thickBot="1" x14ac:dyDescent="0.5">
      <c r="A28" s="22">
        <v>100</v>
      </c>
      <c r="B28" s="20" t="e">
        <f t="shared" si="5"/>
        <v>#DIV/0!</v>
      </c>
      <c r="C28" s="21" t="e">
        <f t="shared" si="6"/>
        <v>#DIV/0!</v>
      </c>
      <c r="D28" s="20" t="e">
        <f t="shared" si="7"/>
        <v>#DIV/0!</v>
      </c>
      <c r="E28" s="20" t="e">
        <f t="shared" si="8"/>
        <v>#DIV/0!</v>
      </c>
      <c r="I28" s="28" t="s">
        <v>21</v>
      </c>
      <c r="J28" s="33" t="s">
        <v>22</v>
      </c>
      <c r="K28" s="30" t="s">
        <v>23</v>
      </c>
      <c r="L28" s="31" t="s">
        <v>24</v>
      </c>
    </row>
    <row r="29" spans="1:12" ht="14.65" thickTop="1" x14ac:dyDescent="0.45">
      <c r="A29" s="22">
        <v>200</v>
      </c>
      <c r="B29" s="20" t="e">
        <f t="shared" si="5"/>
        <v>#DIV/0!</v>
      </c>
      <c r="C29" s="21" t="e">
        <f t="shared" si="6"/>
        <v>#DIV/0!</v>
      </c>
      <c r="D29" s="20" t="e">
        <f t="shared" si="7"/>
        <v>#DIV/0!</v>
      </c>
      <c r="E29" s="20" t="e">
        <f t="shared" si="8"/>
        <v>#DIV/0!</v>
      </c>
      <c r="I29" s="34" t="e">
        <f>AVERAGE(I21:I26)</f>
        <v>#DIV/0!</v>
      </c>
      <c r="J29" s="32" t="e">
        <f>AVERAGE(J21:J26)</f>
        <v>#DIV/0!</v>
      </c>
      <c r="K29" s="32" t="e">
        <f t="shared" ref="K29:L29" si="9">AVERAGE(K21:K26)</f>
        <v>#DIV/0!</v>
      </c>
      <c r="L29" s="35" t="e">
        <f t="shared" si="9"/>
        <v>#DIV/0!</v>
      </c>
    </row>
    <row r="30" spans="1:12" ht="14.65" thickBot="1" x14ac:dyDescent="0.5">
      <c r="A30" s="22">
        <v>500</v>
      </c>
      <c r="B30" s="20" t="e">
        <f t="shared" si="5"/>
        <v>#DIV/0!</v>
      </c>
      <c r="C30" s="21" t="e">
        <f t="shared" si="6"/>
        <v>#DIV/0!</v>
      </c>
      <c r="D30" s="20" t="e">
        <f t="shared" si="7"/>
        <v>#DIV/0!</v>
      </c>
      <c r="E30" s="20" t="e">
        <f t="shared" si="8"/>
        <v>#DIV/0!</v>
      </c>
      <c r="I30" s="36" t="e">
        <f>AVEDEV(I21:I26)</f>
        <v>#DIV/0!</v>
      </c>
      <c r="J30" s="37" t="e">
        <f t="shared" ref="J30:L30" si="10">AVEDEV(J21:J26)</f>
        <v>#DIV/0!</v>
      </c>
      <c r="K30" s="37" t="e">
        <f t="shared" si="10"/>
        <v>#DIV/0!</v>
      </c>
      <c r="L30" s="38" t="e">
        <f t="shared" si="10"/>
        <v>#DIV/0!</v>
      </c>
    </row>
    <row r="31" spans="1:12" ht="15" thickTop="1" thickBot="1" x14ac:dyDescent="0.5"/>
    <row r="32" spans="1:12" ht="15" thickTop="1" thickBot="1" x14ac:dyDescent="0.5">
      <c r="A32" s="12" t="s">
        <v>11</v>
      </c>
      <c r="B32" s="12" t="s">
        <v>15</v>
      </c>
      <c r="C32" s="14" t="s">
        <v>16</v>
      </c>
      <c r="D32" s="23" t="s">
        <v>17</v>
      </c>
      <c r="E32" s="24" t="s">
        <v>18</v>
      </c>
    </row>
    <row r="33" spans="1:5" ht="14.65" thickTop="1" x14ac:dyDescent="0.45">
      <c r="A33" s="18">
        <v>-500</v>
      </c>
      <c r="B33" s="25" t="e">
        <f>MAX(B25/D25,D25/B25)</f>
        <v>#DIV/0!</v>
      </c>
      <c r="C33" s="26" t="e">
        <f>MAX(C25/E25,E25/C25)</f>
        <v>#DIV/0!</v>
      </c>
      <c r="D33" s="27" t="e">
        <f>-0.38761*(ATAN(0.13686*B33))+1.05567</f>
        <v>#DIV/0!</v>
      </c>
      <c r="E33" s="27" t="e">
        <f>-0.38761*(ATAN(0.13686*C33))+1.05567</f>
        <v>#DIV/0!</v>
      </c>
    </row>
    <row r="34" spans="1:5" x14ac:dyDescent="0.45">
      <c r="A34" s="22">
        <v>-200</v>
      </c>
      <c r="B34" s="25" t="e">
        <f t="shared" ref="B34:C38" si="11">MAX(B26/D26,D26/B26)</f>
        <v>#DIV/0!</v>
      </c>
      <c r="C34" s="26" t="e">
        <f t="shared" si="11"/>
        <v>#DIV/0!</v>
      </c>
      <c r="D34" s="27" t="e">
        <f t="shared" ref="D34:E38" si="12">-0.38761*(ATAN(0.13686*B34))+1.05567</f>
        <v>#DIV/0!</v>
      </c>
      <c r="E34" s="27" t="e">
        <f t="shared" si="12"/>
        <v>#DIV/0!</v>
      </c>
    </row>
    <row r="35" spans="1:5" x14ac:dyDescent="0.45">
      <c r="A35" s="22">
        <v>-100</v>
      </c>
      <c r="B35" s="25" t="e">
        <f t="shared" si="11"/>
        <v>#DIV/0!</v>
      </c>
      <c r="C35" s="26" t="e">
        <f t="shared" si="11"/>
        <v>#DIV/0!</v>
      </c>
      <c r="D35" s="27" t="e">
        <f t="shared" si="12"/>
        <v>#DIV/0!</v>
      </c>
      <c r="E35" s="27" t="e">
        <f t="shared" si="12"/>
        <v>#DIV/0!</v>
      </c>
    </row>
    <row r="36" spans="1:5" x14ac:dyDescent="0.45">
      <c r="A36" s="22">
        <v>100</v>
      </c>
      <c r="B36" s="25" t="e">
        <f t="shared" si="11"/>
        <v>#DIV/0!</v>
      </c>
      <c r="C36" s="26" t="e">
        <f t="shared" si="11"/>
        <v>#DIV/0!</v>
      </c>
      <c r="D36" s="27" t="e">
        <f t="shared" si="12"/>
        <v>#DIV/0!</v>
      </c>
      <c r="E36" s="27" t="e">
        <f t="shared" si="12"/>
        <v>#DIV/0!</v>
      </c>
    </row>
    <row r="37" spans="1:5" x14ac:dyDescent="0.45">
      <c r="A37" s="22">
        <v>200</v>
      </c>
      <c r="B37" s="25" t="e">
        <f t="shared" si="11"/>
        <v>#DIV/0!</v>
      </c>
      <c r="C37" s="26" t="e">
        <f t="shared" si="11"/>
        <v>#DIV/0!</v>
      </c>
      <c r="D37" s="27" t="e">
        <f t="shared" si="12"/>
        <v>#DIV/0!</v>
      </c>
      <c r="E37" s="27" t="e">
        <f t="shared" si="12"/>
        <v>#DIV/0!</v>
      </c>
    </row>
    <row r="38" spans="1:5" x14ac:dyDescent="0.45">
      <c r="A38" s="22">
        <v>500</v>
      </c>
      <c r="B38" s="25" t="e">
        <f t="shared" si="11"/>
        <v>#DIV/0!</v>
      </c>
      <c r="C38" s="26" t="e">
        <f t="shared" si="11"/>
        <v>#DIV/0!</v>
      </c>
      <c r="D38" s="27" t="e">
        <f t="shared" si="12"/>
        <v>#DIV/0!</v>
      </c>
      <c r="E38" s="27" t="e">
        <f t="shared" si="12"/>
        <v>#DIV/0!</v>
      </c>
    </row>
    <row r="39" spans="1:5" ht="14.65" thickBot="1" x14ac:dyDescent="0.5"/>
    <row r="40" spans="1:5" ht="15" thickTop="1" thickBot="1" x14ac:dyDescent="0.5">
      <c r="A40" s="12" t="s">
        <v>11</v>
      </c>
      <c r="B40" s="28" t="s">
        <v>21</v>
      </c>
      <c r="C40" s="29" t="s">
        <v>22</v>
      </c>
      <c r="D40" s="30" t="s">
        <v>23</v>
      </c>
      <c r="E40" s="31" t="s">
        <v>23</v>
      </c>
    </row>
    <row r="41" spans="1:5" ht="14.65" thickTop="1" x14ac:dyDescent="0.45">
      <c r="A41" s="18">
        <v>-500</v>
      </c>
      <c r="B41" s="25" t="e">
        <f>(PI()/LN(2))*F$23*((B25+D25)/2)*D33</f>
        <v>#DIV/0!</v>
      </c>
      <c r="C41" s="26" t="e">
        <f>(PI()/LN(2))*F$23*((C25+E25)/2)*E33</f>
        <v>#DIV/0!</v>
      </c>
      <c r="D41" s="32" t="e">
        <f>1/B41</f>
        <v>#DIV/0!</v>
      </c>
      <c r="E41" s="32" t="e">
        <f>1/C41</f>
        <v>#DIV/0!</v>
      </c>
    </row>
    <row r="42" spans="1:5" x14ac:dyDescent="0.45">
      <c r="A42" s="22">
        <v>-200</v>
      </c>
      <c r="B42" s="25" t="e">
        <f t="shared" ref="B42:B46" si="13">(PI()/LN(2))*F$23*((B26+D26)/2)*D34</f>
        <v>#DIV/0!</v>
      </c>
      <c r="C42" s="26" t="e">
        <f t="shared" ref="C42:C46" si="14">(PI()/LN(2))*F$23*((C26+E26)/2)*E34</f>
        <v>#DIV/0!</v>
      </c>
      <c r="D42" s="32" t="e">
        <f t="shared" ref="D42:E46" si="15">1/B42</f>
        <v>#DIV/0!</v>
      </c>
      <c r="E42" s="32" t="e">
        <f t="shared" si="15"/>
        <v>#DIV/0!</v>
      </c>
    </row>
    <row r="43" spans="1:5" x14ac:dyDescent="0.45">
      <c r="A43" s="22">
        <v>-100</v>
      </c>
      <c r="B43" s="25" t="e">
        <f t="shared" si="13"/>
        <v>#DIV/0!</v>
      </c>
      <c r="C43" s="26" t="e">
        <f t="shared" si="14"/>
        <v>#DIV/0!</v>
      </c>
      <c r="D43" s="32" t="e">
        <f t="shared" si="15"/>
        <v>#DIV/0!</v>
      </c>
      <c r="E43" s="32" t="e">
        <f t="shared" si="15"/>
        <v>#DIV/0!</v>
      </c>
    </row>
    <row r="44" spans="1:5" x14ac:dyDescent="0.45">
      <c r="A44" s="22">
        <v>100</v>
      </c>
      <c r="B44" s="25" t="e">
        <f t="shared" si="13"/>
        <v>#DIV/0!</v>
      </c>
      <c r="C44" s="26" t="e">
        <f t="shared" si="14"/>
        <v>#DIV/0!</v>
      </c>
      <c r="D44" s="32" t="e">
        <f t="shared" si="15"/>
        <v>#DIV/0!</v>
      </c>
      <c r="E44" s="32" t="e">
        <f t="shared" si="15"/>
        <v>#DIV/0!</v>
      </c>
    </row>
    <row r="45" spans="1:5" x14ac:dyDescent="0.45">
      <c r="A45" s="22">
        <v>200</v>
      </c>
      <c r="B45" s="25" t="e">
        <f t="shared" si="13"/>
        <v>#DIV/0!</v>
      </c>
      <c r="C45" s="26" t="e">
        <f t="shared" si="14"/>
        <v>#DIV/0!</v>
      </c>
      <c r="D45" s="32" t="e">
        <f t="shared" si="15"/>
        <v>#DIV/0!</v>
      </c>
      <c r="E45" s="32" t="e">
        <f t="shared" si="15"/>
        <v>#DIV/0!</v>
      </c>
    </row>
    <row r="46" spans="1:5" x14ac:dyDescent="0.45">
      <c r="A46" s="22">
        <v>500</v>
      </c>
      <c r="B46" s="25" t="e">
        <f t="shared" si="13"/>
        <v>#DIV/0!</v>
      </c>
      <c r="C46" s="26" t="e">
        <f t="shared" si="14"/>
        <v>#DIV/0!</v>
      </c>
      <c r="D46" s="32" t="e">
        <f t="shared" si="15"/>
        <v>#DIV/0!</v>
      </c>
      <c r="E46" s="32" t="e">
        <f t="shared" si="15"/>
        <v>#DIV/0!</v>
      </c>
    </row>
    <row r="47" spans="1:5" ht="14.65" thickBot="1" x14ac:dyDescent="0.5"/>
    <row r="48" spans="1:5" ht="15" thickTop="1" thickBot="1" x14ac:dyDescent="0.5">
      <c r="B48" s="28" t="s">
        <v>21</v>
      </c>
      <c r="C48" s="33" t="s">
        <v>22</v>
      </c>
      <c r="D48" s="30" t="s">
        <v>23</v>
      </c>
      <c r="E48" s="31" t="s">
        <v>24</v>
      </c>
    </row>
    <row r="49" spans="2:5" ht="14.65" thickTop="1" x14ac:dyDescent="0.45">
      <c r="B49" s="34" t="e">
        <f>AVERAGE(B41:B46)</f>
        <v>#DIV/0!</v>
      </c>
      <c r="C49" s="32" t="e">
        <f>AVERAGE(C41:C46)</f>
        <v>#DIV/0!</v>
      </c>
      <c r="D49" s="32" t="e">
        <f t="shared" ref="D49:E49" si="16">AVERAGE(D41:D46)</f>
        <v>#DIV/0!</v>
      </c>
      <c r="E49" s="35" t="e">
        <f t="shared" si="16"/>
        <v>#DIV/0!</v>
      </c>
    </row>
    <row r="50" spans="2:5" ht="14.65" thickBot="1" x14ac:dyDescent="0.5">
      <c r="B50" s="36" t="e">
        <f>AVEDEV(B41:B46)</f>
        <v>#DIV/0!</v>
      </c>
      <c r="C50" s="37" t="e">
        <f t="shared" ref="C50:E50" si="17">AVEDEV(C41:C46)</f>
        <v>#DIV/0!</v>
      </c>
      <c r="D50" s="37" t="e">
        <f t="shared" si="17"/>
        <v>#DIV/0!</v>
      </c>
      <c r="E50" s="38" t="e">
        <f t="shared" si="17"/>
        <v>#DIV/0!</v>
      </c>
    </row>
    <row r="51" spans="2:5" ht="14.65" thickTop="1" x14ac:dyDescent="0.45"/>
  </sheetData>
  <mergeCells count="16">
    <mergeCell ref="A12:F12"/>
    <mergeCell ref="A13:C13"/>
    <mergeCell ref="D13:F13"/>
    <mergeCell ref="B22:C22"/>
    <mergeCell ref="D22:E22"/>
    <mergeCell ref="B23:C23"/>
    <mergeCell ref="D23:E23"/>
    <mergeCell ref="A1:F1"/>
    <mergeCell ref="H1:M1"/>
    <mergeCell ref="A2:F2"/>
    <mergeCell ref="I2:J2"/>
    <mergeCell ref="K2:L2"/>
    <mergeCell ref="A3:C3"/>
    <mergeCell ref="D3:F3"/>
    <mergeCell ref="I3:J3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Mašek</dc:creator>
  <cp:lastModifiedBy>Masek Tomas</cp:lastModifiedBy>
  <dcterms:created xsi:type="dcterms:W3CDTF">2015-06-05T18:19:34Z</dcterms:created>
  <dcterms:modified xsi:type="dcterms:W3CDTF">2026-06-12T14:40:28Z</dcterms:modified>
</cp:coreProperties>
</file>